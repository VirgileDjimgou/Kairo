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DieseArbeitsmappe" hidePivotFieldList="1"/>
  <mc:AlternateContent xmlns:mc="http://schemas.openxmlformats.org/markup-compatibility/2006">
    <mc:Choice Requires="x15">
      <x15ac:absPath xmlns:x15ac="http://schemas.microsoft.com/office/spreadsheetml/2010/11/ac" url="https://d.docs.live.net/1c133c6cae2a6045/Documents/"/>
    </mc:Choice>
  </mc:AlternateContent>
  <xr:revisionPtr revIDLastSave="265" documentId="11_C8320D70260B0AC4B677AB4C81FC8423A744CEE3" xr6:coauthVersionLast="47" xr6:coauthVersionMax="47" xr10:uidLastSave="{06E43D64-0470-44E5-9E06-9F527B9D9FAA}"/>
  <bookViews>
    <workbookView xWindow="-120" yWindow="-120" windowWidth="29040" windowHeight="16440" xr2:uid="{00000000-000D-0000-FFFF-FFFF00000000}"/>
  </bookViews>
  <sheets>
    <sheet name="DonationLog" sheetId="1" r:id="rId1"/>
    <sheet name="©" sheetId="23" r:id="rId2"/>
  </sheets>
  <definedNames>
    <definedName name="_xlnm.Print_Area" localSheetId="0">DonationLog!$A:$F</definedName>
    <definedName name="_xlnm.Print_Titles" localSheetId="0">DonationLog!$20:$20</definedName>
    <definedName name="logTable2">DonationLog!$A$20:$F$103</definedName>
    <definedName name="logTable3">DonationLog!$A$20:$F$103</definedName>
    <definedName name="projectID">#REF!</definedName>
    <definedName name="projectID_list">OFFSET(#REF!,1,0,COUNTA(#REF!),1)</definedName>
    <definedName name="taskID">#REF!</definedName>
    <definedName name="taskIDlabel">#REF!</definedName>
    <definedName name="taskIDList_ProjectID">OFFSET(#REF!,1,0,COUNTA(#REF!),1)</definedName>
    <definedName name="valuevx">42.314159</definedName>
    <definedName name="vertex42_copyright" hidden="1">"© 2014 Vertex42 LLC"</definedName>
    <definedName name="vertex42_id" hidden="1">"donation-tracker.xlsx"</definedName>
    <definedName name="vertex42_title" hidden="1">"Donation Tracking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E100" i="1"/>
  <c r="E65" i="1"/>
  <c r="D7" i="1"/>
  <c r="D8" i="1" s="1"/>
  <c r="D16" i="1"/>
  <c r="E99" i="1" l="1"/>
  <c r="E98" i="1"/>
  <c r="E97" i="1"/>
  <c r="E94" i="1"/>
  <c r="E95" i="1"/>
  <c r="E96" i="1"/>
  <c r="E91" i="1"/>
  <c r="E92" i="1"/>
  <c r="E93" i="1"/>
  <c r="E22" i="1"/>
  <c r="E23" i="1"/>
  <c r="E29" i="1"/>
  <c r="E85" i="1"/>
  <c r="E83" i="1"/>
  <c r="E86" i="1"/>
  <c r="E87" i="1"/>
  <c r="E79" i="1"/>
  <c r="E84" i="1"/>
  <c r="E81" i="1"/>
  <c r="E77" i="1"/>
  <c r="E80" i="1"/>
  <c r="E82" i="1"/>
  <c r="E88" i="1"/>
  <c r="E76" i="1"/>
  <c r="E71" i="1"/>
  <c r="E70" i="1"/>
  <c r="E72" i="1"/>
  <c r="E73" i="1"/>
  <c r="E74" i="1"/>
  <c r="E75" i="1"/>
  <c r="E69" i="1"/>
  <c r="E68" i="1"/>
  <c r="E67" i="1"/>
  <c r="E53" i="1"/>
  <c r="E66" i="1"/>
  <c r="E54" i="1"/>
  <c r="E55" i="1"/>
  <c r="E58" i="1"/>
  <c r="E56" i="1"/>
  <c r="E57" i="1"/>
  <c r="E60" i="1"/>
  <c r="E59" i="1"/>
  <c r="E63" i="1"/>
  <c r="E62" i="1"/>
  <c r="E61" i="1"/>
  <c r="E64" i="1"/>
  <c r="E41" i="1"/>
  <c r="E45" i="1"/>
  <c r="E49" i="1"/>
  <c r="E78" i="1"/>
  <c r="E102" i="1"/>
  <c r="E32" i="1"/>
  <c r="E36" i="1"/>
  <c r="E40" i="1"/>
  <c r="E38" i="1"/>
  <c r="E42" i="1"/>
  <c r="E46" i="1"/>
  <c r="E50" i="1"/>
  <c r="E89" i="1"/>
  <c r="E27" i="1"/>
  <c r="E33" i="1"/>
  <c r="E37" i="1"/>
  <c r="E34" i="1"/>
  <c r="E39" i="1"/>
  <c r="E43" i="1"/>
  <c r="E47" i="1"/>
  <c r="E51" i="1"/>
  <c r="E90" i="1"/>
  <c r="E30" i="1"/>
  <c r="E44" i="1"/>
  <c r="E48" i="1"/>
  <c r="E52" i="1"/>
  <c r="E101" i="1"/>
  <c r="E28" i="1"/>
  <c r="E31" i="1"/>
  <c r="E35" i="1"/>
  <c r="E25" i="1"/>
  <c r="E24" i="1"/>
  <c r="E26" i="1"/>
  <c r="E21" i="1"/>
  <c r="D13" i="1" l="1"/>
</calcChain>
</file>

<file path=xl/sharedStrings.xml><?xml version="1.0" encoding="utf-8"?>
<sst xmlns="http://schemas.openxmlformats.org/spreadsheetml/2006/main" count="45" uniqueCount="38">
  <si>
    <t>Date</t>
  </si>
  <si>
    <t xml:space="preserve">Date: </t>
  </si>
  <si>
    <t xml:space="preserve">Total: </t>
  </si>
  <si>
    <t>Overall Total</t>
  </si>
  <si>
    <r>
      <rPr>
        <b/>
        <sz val="12"/>
        <color theme="1"/>
        <rFont val="Arial"/>
        <family val="2"/>
      </rPr>
      <t>Do not delete this worksheet.</t>
    </r>
    <r>
      <rPr>
        <sz val="12"/>
        <rFont val="Arial"/>
        <family val="2"/>
      </rPr>
      <t xml:space="preserve"> If necessary, you may hide it by right-clicking on the tab and selecting Hide.</t>
    </r>
  </si>
  <si>
    <t>https://www.vertex42.com/ExcelTemplates/donation-tracker.html</t>
  </si>
  <si>
    <t>© 2024 Combis Verein</t>
  </si>
  <si>
    <t>Journal de suivi des Contributions</t>
  </si>
  <si>
    <t>[Association Combis]</t>
  </si>
  <si>
    <t>Objectif global</t>
  </si>
  <si>
    <t>Vue d'ensemble contributions</t>
  </si>
  <si>
    <t>total contributions percues</t>
  </si>
  <si>
    <t>pourcentage contributions percues</t>
  </si>
  <si>
    <t xml:space="preserve">Debut des contributions: </t>
  </si>
  <si>
    <t xml:space="preserve">Fin des contributions: </t>
  </si>
  <si>
    <t>Noms et premons</t>
  </si>
  <si>
    <t>Type de contribution (individuel ou famille)</t>
  </si>
  <si>
    <t>Montant</t>
  </si>
  <si>
    <t>Remarques/Commentaires</t>
  </si>
  <si>
    <t>Periode</t>
  </si>
  <si>
    <t>On peut si besoin inserer une  ligne ou rangée  au dessus  de la derniere</t>
  </si>
  <si>
    <t>Mode d'utilisation :</t>
  </si>
  <si>
    <t>Roland</t>
  </si>
  <si>
    <t>Famille</t>
  </si>
  <si>
    <t>Patrick</t>
  </si>
  <si>
    <t>Individuelle</t>
  </si>
  <si>
    <t>Consty</t>
  </si>
  <si>
    <t>koller</t>
  </si>
  <si>
    <t>Titi</t>
  </si>
  <si>
    <t>Cyrille</t>
  </si>
  <si>
    <t>famille</t>
  </si>
  <si>
    <t>Boris</t>
  </si>
  <si>
    <t>Testttttt Cooolllllioooo</t>
  </si>
  <si>
    <t>test Value</t>
  </si>
  <si>
    <t>Cumul Periodique des Contributions</t>
  </si>
  <si>
    <t>By Djimgou Patrick Virgile</t>
  </si>
  <si>
    <t>© 2024 Djimgou Patrick Virgile</t>
  </si>
  <si>
    <t>Contribution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</si>
</sst>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/d/yy;@"/>
    <numFmt numFmtId="167" formatCode="0.0%"/>
    <numFmt numFmtId="168" formatCode="#,##0.00_);\(#,##0.00\)"/>
  </numFmts>
  <fonts count="40" x14ac:knownFonts="1">
    <font>
      <sz val="10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8"/>
      <name val="Trebuchet MS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b/>
      <sz val="16"/>
      <name val="Arial"/>
      <family val="2"/>
      <scheme val="major"/>
    </font>
    <font>
      <sz val="10"/>
      <name val="Arial"/>
      <family val="2"/>
      <scheme val="minor"/>
    </font>
    <font>
      <sz val="18"/>
      <color theme="4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0"/>
      <color theme="4" tint="-0.249977111117893"/>
      <name val="Arial"/>
      <family val="2"/>
    </font>
    <font>
      <u/>
      <sz val="10"/>
      <color rgb="FF0000FF"/>
      <name val="Trebuchet MS"/>
      <family val="2"/>
    </font>
    <font>
      <b/>
      <sz val="11"/>
      <color theme="4" tint="-0.249977111117893"/>
      <name val="Arial"/>
      <family val="2"/>
    </font>
    <font>
      <b/>
      <sz val="16"/>
      <color theme="4" tint="-0.249977111117893"/>
      <name val="Arial"/>
      <family val="2"/>
    </font>
    <font>
      <sz val="10"/>
      <name val="Trebuchet MS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0" fontId="9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17" fillId="5" borderId="7" applyNumberFormat="0" applyFont="0" applyAlignment="0" applyProtection="0"/>
    <xf numFmtId="0" fontId="18" fillId="1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Protection="1"/>
    <xf numFmtId="0" fontId="3" fillId="0" borderId="0" xfId="0" applyFo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center"/>
    </xf>
    <xf numFmtId="0" fontId="0" fillId="0" borderId="0" xfId="0" applyFont="1" applyAlignment="1" applyProtection="1">
      <alignment horizontal="right"/>
    </xf>
    <xf numFmtId="0" fontId="27" fillId="0" borderId="0" xfId="0" applyFont="1" applyFill="1" applyBorder="1" applyAlignment="1" applyProtection="1">
      <alignment horizontal="center" vertical="center" wrapText="1"/>
    </xf>
    <xf numFmtId="0" fontId="26" fillId="0" borderId="0" xfId="0" applyFont="1" applyFill="1" applyBorder="1" applyAlignment="1" applyProtection="1">
      <alignment horizontal="center" vertical="center" wrapText="1"/>
    </xf>
    <xf numFmtId="166" fontId="0" fillId="0" borderId="10" xfId="0" applyNumberFormat="1" applyFont="1" applyFill="1" applyBorder="1" applyAlignment="1" applyProtection="1">
      <alignment horizontal="center" vertical="center"/>
    </xf>
    <xf numFmtId="0" fontId="0" fillId="0" borderId="10" xfId="0" applyNumberFormat="1" applyFont="1" applyFill="1" applyBorder="1" applyAlignment="1" applyProtection="1">
      <alignment horizontal="left" vertical="center"/>
    </xf>
    <xf numFmtId="0" fontId="2" fillId="0" borderId="10" xfId="0" applyNumberFormat="1" applyFont="1" applyFill="1" applyBorder="1" applyAlignment="1" applyProtection="1">
      <alignment horizontal="left" vertical="center"/>
      <protection locked="0"/>
    </xf>
    <xf numFmtId="0" fontId="2" fillId="0" borderId="10" xfId="0" applyNumberFormat="1" applyFont="1" applyFill="1" applyBorder="1" applyAlignment="1" applyProtection="1">
      <alignment horizontal="center" vertical="center"/>
      <protection locked="0"/>
    </xf>
    <xf numFmtId="0" fontId="28" fillId="20" borderId="0" xfId="0" applyFont="1" applyFill="1" applyAlignment="1" applyProtection="1">
      <alignment horizontal="centerContinuous" vertical="center"/>
    </xf>
    <xf numFmtId="166" fontId="0" fillId="0" borderId="11" xfId="0" applyNumberFormat="1" applyFill="1" applyBorder="1" applyAlignment="1" applyProtection="1">
      <alignment horizontal="center"/>
    </xf>
    <xf numFmtId="0" fontId="0" fillId="0" borderId="0" xfId="0" applyFont="1" applyAlignment="1" applyProtection="1">
      <alignment horizontal="right"/>
      <protection locked="0"/>
    </xf>
    <xf numFmtId="0" fontId="0" fillId="0" borderId="10" xfId="0" applyNumberFormat="1" applyFont="1" applyFill="1" applyBorder="1" applyAlignment="1" applyProtection="1">
      <alignment horizontal="center" vertical="center"/>
      <protection locked="0"/>
    </xf>
    <xf numFmtId="39" fontId="2" fillId="0" borderId="10" xfId="44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"/>
    </xf>
    <xf numFmtId="0" fontId="0" fillId="0" borderId="10" xfId="0" applyNumberFormat="1" applyFont="1" applyFill="1" applyBorder="1" applyAlignment="1" applyProtection="1">
      <alignment horizontal="center" vertical="center"/>
    </xf>
    <xf numFmtId="39" fontId="0" fillId="20" borderId="0" xfId="43" applyNumberFormat="1" applyFont="1" applyFill="1" applyAlignment="1" applyProtection="1">
      <alignment horizontal="right" vertical="center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39" fontId="0" fillId="0" borderId="10" xfId="44" applyNumberFormat="1" applyFont="1" applyFill="1" applyBorder="1" applyAlignment="1" applyProtection="1">
      <alignment horizontal="right" vertical="center"/>
      <protection locked="0"/>
    </xf>
    <xf numFmtId="0" fontId="0" fillId="0" borderId="10" xfId="44" applyNumberFormat="1" applyFont="1" applyFill="1" applyBorder="1" applyAlignment="1" applyProtection="1">
      <alignment horizontal="center" vertical="center"/>
    </xf>
    <xf numFmtId="0" fontId="28" fillId="0" borderId="0" xfId="0" applyNumberFormat="1" applyFont="1" applyFill="1" applyAlignment="1" applyProtection="1">
      <alignment vertical="center"/>
    </xf>
    <xf numFmtId="39" fontId="29" fillId="0" borderId="11" xfId="43" applyNumberFormat="1" applyFont="1" applyFill="1" applyBorder="1" applyAlignment="1" applyProtection="1">
      <alignment horizontal="right" vertical="center"/>
    </xf>
    <xf numFmtId="39" fontId="29" fillId="20" borderId="0" xfId="43" applyNumberFormat="1" applyFont="1" applyFill="1" applyAlignment="1" applyProtection="1">
      <alignment horizontal="right" vertical="center"/>
    </xf>
    <xf numFmtId="167" fontId="0" fillId="20" borderId="0" xfId="45" applyNumberFormat="1" applyFont="1" applyFill="1" applyAlignment="1" applyProtection="1">
      <alignment horizontal="right"/>
    </xf>
    <xf numFmtId="0" fontId="31" fillId="0" borderId="0" xfId="0" applyFont="1" applyProtection="1"/>
    <xf numFmtId="166" fontId="0" fillId="20" borderId="10" xfId="0" applyNumberFormat="1" applyFont="1" applyFill="1" applyBorder="1" applyAlignment="1" applyProtection="1">
      <alignment horizontal="center" vertical="center"/>
    </xf>
    <xf numFmtId="0" fontId="0" fillId="20" borderId="10" xfId="0" applyNumberFormat="1" applyFont="1" applyFill="1" applyBorder="1" applyAlignment="1" applyProtection="1">
      <alignment horizontal="left" vertical="center"/>
    </xf>
    <xf numFmtId="0" fontId="0" fillId="20" borderId="10" xfId="0" applyNumberFormat="1" applyFont="1" applyFill="1" applyBorder="1" applyAlignment="1" applyProtection="1">
      <alignment horizontal="left" vertical="center"/>
      <protection locked="0"/>
    </xf>
    <xf numFmtId="39" fontId="0" fillId="20" borderId="10" xfId="44" applyNumberFormat="1" applyFont="1" applyFill="1" applyBorder="1" applyAlignment="1" applyProtection="1">
      <alignment horizontal="right" vertical="center"/>
      <protection locked="0"/>
    </xf>
    <xf numFmtId="0" fontId="0" fillId="20" borderId="10" xfId="44" applyNumberFormat="1" applyFont="1" applyFill="1" applyBorder="1" applyAlignment="1" applyProtection="1">
      <alignment horizontal="center" vertical="center"/>
    </xf>
    <xf numFmtId="0" fontId="25" fillId="20" borderId="10" xfId="0" applyNumberFormat="1" applyFont="1" applyFill="1" applyBorder="1" applyAlignment="1" applyProtection="1">
      <alignment horizontal="right" vertical="center"/>
      <protection locked="0"/>
    </xf>
    <xf numFmtId="0" fontId="1" fillId="0" borderId="12" xfId="0" applyFont="1" applyBorder="1"/>
    <xf numFmtId="0" fontId="32" fillId="0" borderId="13" xfId="0" applyFont="1" applyFill="1" applyBorder="1" applyAlignment="1">
      <alignment horizontal="left" vertical="center"/>
    </xf>
    <xf numFmtId="0" fontId="0" fillId="0" borderId="12" xfId="0" applyBorder="1"/>
    <xf numFmtId="0" fontId="22" fillId="0" borderId="14" xfId="0" applyFont="1" applyBorder="1" applyAlignment="1">
      <alignment horizontal="left" wrapText="1" indent="1"/>
    </xf>
    <xf numFmtId="0" fontId="33" fillId="0" borderId="12" xfId="0" applyFont="1" applyBorder="1"/>
    <xf numFmtId="0" fontId="22" fillId="0" borderId="12" xfId="0" applyFont="1" applyBorder="1" applyAlignment="1">
      <alignment horizontal="left" wrapText="1"/>
    </xf>
    <xf numFmtId="0" fontId="23" fillId="0" borderId="12" xfId="0" applyFont="1" applyBorder="1" applyAlignment="1">
      <alignment horizontal="left" wrapText="1"/>
    </xf>
    <xf numFmtId="0" fontId="24" fillId="0" borderId="12" xfId="0" applyFont="1" applyBorder="1" applyAlignment="1" applyProtection="1">
      <alignment horizontal="left" wrapText="1"/>
    </xf>
    <xf numFmtId="0" fontId="22" fillId="0" borderId="12" xfId="0" applyFont="1" applyBorder="1" applyAlignment="1">
      <alignment horizontal="left"/>
    </xf>
    <xf numFmtId="0" fontId="1" fillId="0" borderId="0" xfId="0" applyFont="1"/>
    <xf numFmtId="0" fontId="36" fillId="0" borderId="12" xfId="42" applyBorder="1" applyAlignment="1">
      <alignment horizontal="left" wrapText="1"/>
    </xf>
    <xf numFmtId="0" fontId="0" fillId="21" borderId="0" xfId="0" applyFill="1" applyProtection="1"/>
    <xf numFmtId="0" fontId="25" fillId="21" borderId="0" xfId="0" applyFont="1" applyFill="1" applyProtection="1"/>
    <xf numFmtId="0" fontId="36" fillId="21" borderId="0" xfId="42" applyFill="1" applyProtection="1"/>
    <xf numFmtId="0" fontId="35" fillId="21" borderId="0" xfId="0" applyFont="1" applyFill="1" applyProtection="1"/>
    <xf numFmtId="0" fontId="37" fillId="21" borderId="0" xfId="0" applyFont="1" applyFill="1" applyProtection="1"/>
    <xf numFmtId="0" fontId="35" fillId="21" borderId="0" xfId="0" applyFont="1" applyFill="1" applyAlignment="1" applyProtection="1">
      <alignment horizontal="left" vertical="top" wrapText="1"/>
    </xf>
    <xf numFmtId="0" fontId="0" fillId="21" borderId="0" xfId="0" applyFill="1" applyAlignment="1" applyProtection="1">
      <alignment vertical="center"/>
    </xf>
    <xf numFmtId="166" fontId="39" fillId="0" borderId="10" xfId="0" applyNumberFormat="1" applyFont="1" applyFill="1" applyBorder="1" applyAlignment="1" applyProtection="1">
      <alignment horizontal="center" vertical="center"/>
    </xf>
    <xf numFmtId="0" fontId="39" fillId="0" borderId="10" xfId="0" applyNumberFormat="1" applyFont="1" applyFill="1" applyBorder="1" applyAlignment="1" applyProtection="1">
      <alignment horizontal="left" vertical="center"/>
    </xf>
    <xf numFmtId="0" fontId="39" fillId="0" borderId="10" xfId="0" applyNumberFormat="1" applyFont="1" applyFill="1" applyBorder="1" applyAlignment="1" applyProtection="1">
      <alignment horizontal="left" vertical="center"/>
      <protection locked="0"/>
    </xf>
    <xf numFmtId="168" fontId="39" fillId="0" borderId="10" xfId="44" applyNumberFormat="1" applyFont="1" applyFill="1" applyBorder="1" applyAlignment="1" applyProtection="1">
      <alignment horizontal="right" vertical="center"/>
      <protection locked="0"/>
    </xf>
    <xf numFmtId="0" fontId="39" fillId="0" borderId="10" xfId="44" applyNumberFormat="1" applyFont="1" applyFill="1" applyBorder="1" applyAlignment="1" applyProtection="1">
      <alignment horizontal="center" vertical="center"/>
    </xf>
    <xf numFmtId="0" fontId="39" fillId="0" borderId="10" xfId="0" applyNumberFormat="1" applyFont="1" applyFill="1" applyBorder="1" applyAlignment="1" applyProtection="1">
      <alignment horizontal="center" vertical="center"/>
      <protection locked="0"/>
    </xf>
    <xf numFmtId="168" fontId="0" fillId="0" borderId="10" xfId="44" applyNumberFormat="1" applyFont="1" applyFill="1" applyBorder="1" applyAlignment="1" applyProtection="1">
      <alignment horizontal="right" vertical="center"/>
      <protection locked="0"/>
    </xf>
    <xf numFmtId="0" fontId="30" fillId="0" borderId="0" xfId="0" applyFont="1" applyAlignment="1" applyProtection="1">
      <alignment horizontal="left"/>
      <protection locked="0"/>
    </xf>
    <xf numFmtId="0" fontId="38" fillId="21" borderId="0" xfId="0" applyFont="1" applyFill="1" applyAlignment="1" applyProtection="1">
      <alignment horizontal="left" vertical="top" wrapText="1"/>
    </xf>
    <xf numFmtId="0" fontId="35" fillId="21" borderId="0" xfId="0" applyFont="1" applyFill="1" applyAlignment="1" applyProtection="1">
      <alignment horizontal="left" vertical="top" wrapText="1"/>
    </xf>
    <xf numFmtId="0" fontId="37" fillId="21" borderId="0" xfId="0" applyFont="1" applyFill="1" applyAlignment="1" applyProtection="1">
      <alignment horizontal="left" vertical="top" wrapText="1"/>
    </xf>
  </cellXfs>
  <cellStyles count="46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8" builtinId="21" customBuiltin="1"/>
    <cellStyle name="Berechnung" xfId="26" builtinId="22" customBuiltin="1"/>
    <cellStyle name="Eingabe" xfId="34" builtinId="20" customBuiltin="1"/>
    <cellStyle name="Ergebnis" xfId="40" builtinId="25" customBuiltin="1"/>
    <cellStyle name="Erklärender Text" xfId="28" builtinId="53" customBuiltin="1"/>
    <cellStyle name="Gut" xfId="29" builtinId="26" customBuiltin="1"/>
    <cellStyle name="Komma" xfId="43" builtinId="3"/>
    <cellStyle name="Link" xfId="42" builtinId="8" customBuiltin="1"/>
    <cellStyle name="Neutral" xfId="36" builtinId="28" customBuiltin="1"/>
    <cellStyle name="Notiz" xfId="37" builtinId="10" customBuiltin="1"/>
    <cellStyle name="Prozent" xfId="45" builtinId="5"/>
    <cellStyle name="Schlecht" xfId="25" builtinId="27" customBuiltin="1"/>
    <cellStyle name="Standard" xfId="0" builtinId="0"/>
    <cellStyle name="Überschrift" xfId="39" builtinId="15" customBuiltin="1"/>
    <cellStyle name="Überschrift 1" xfId="30" builtinId="16" customBuiltin="1"/>
    <cellStyle name="Überschrift 2" xfId="31" builtinId="17" customBuiltin="1"/>
    <cellStyle name="Überschrift 3" xfId="32" builtinId="18" customBuiltin="1"/>
    <cellStyle name="Überschrift 4" xfId="33" builtinId="19" customBuiltin="1"/>
    <cellStyle name="Verknüpfte Zelle" xfId="35" builtinId="24" customBuiltin="1"/>
    <cellStyle name="Währung" xfId="44" builtinId="4"/>
    <cellStyle name="Warnender Text" xfId="41" builtinId="11" customBuiltin="1"/>
    <cellStyle name="Zelle überprüfen" xfId="27" builtinId="23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numFmt numFmtId="168" formatCode="#,##0.00_);\(#,##0.00\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numFmt numFmtId="166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0.249977111117893"/>
          <bgColor theme="0" tint="-0.249977111117893"/>
        </patternFill>
      </fill>
    </dxf>
    <dxf>
      <font>
        <b/>
        <color theme="1"/>
      </font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medium">
          <color theme="0" tint="-0.14999847407452621"/>
        </left>
        <right style="medium">
          <color theme="0" tint="-0.14999847407452621"/>
        </right>
      </border>
    </dxf>
    <dxf>
      <border>
        <top style="thin">
          <color theme="0" tint="-0.249977111117893"/>
        </top>
        <bottom style="thin">
          <color theme="0" tint="-0.249977111117893"/>
        </bottom>
        <horizontal style="thin">
          <color theme="0" tint="-0.249977111117893"/>
        </horizontal>
      </border>
    </dxf>
    <dxf>
      <font>
        <b/>
        <color theme="1"/>
      </font>
      <border>
        <top style="thin">
          <color theme="1"/>
        </top>
        <bottom style="medium">
          <color theme="1" tint="0.499984740745262"/>
        </bottom>
      </border>
    </dxf>
    <dxf>
      <font>
        <b/>
        <color theme="0"/>
      </font>
      <fill>
        <patternFill patternType="solid">
          <fgColor theme="1" tint="0.499984740745262"/>
          <bgColor theme="1" tint="0.499984740745262"/>
        </patternFill>
      </fill>
      <border>
        <top style="medium">
          <color theme="1" tint="0.499984740745262"/>
        </top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1" defaultTableStyle="TableStyleMedium2" defaultPivotStyle="PivotStyleLight16">
    <tableStyle name="V42_List1" table="0" count="12" xr9:uid="{00000000-0011-0000-FFFF-FFFF00000000}">
      <tableStyleElement type="wholeTable" dxfId="19"/>
      <tableStyleElement type="headerRow" dxfId="18"/>
      <tableStyleElement type="totalRow" dxfId="17"/>
      <tableStyleElement type="firstRowStripe" dxfId="16"/>
      <tableStyleElement type="firstColumnStripe" dxfId="15"/>
      <tableStyleElement type="firstSubtotalColumn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99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FF3"/>
      <rgbColor rgb="001849B5"/>
      <rgbColor rgb="0036ACA2"/>
      <rgbColor rgb="00F0BA00"/>
      <rgbColor rgb="00BCD5E1"/>
      <rgbColor rgb="0083B3C9"/>
      <rgbColor rgb="00346378"/>
      <rgbColor rgb="0087533B"/>
      <rgbColor rgb="00C0C0C0"/>
      <rgbColor rgb="00003366"/>
      <rgbColor rgb="00109618"/>
      <rgbColor rgb="00085108"/>
      <rgbColor rgb="00635100"/>
      <rgbColor rgb="0023414F"/>
      <rgbColor rgb="00E1C8BC"/>
      <rgbColor rgb="00593727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Progress</a:t>
            </a:r>
          </a:p>
        </c:rich>
      </c:tx>
      <c:layout>
        <c:manualLayout>
          <c:xMode val="edge"/>
          <c:yMode val="edge"/>
          <c:x val="0.3642609190906780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77447081590748"/>
          <c:y val="0.24754155730533681"/>
          <c:w val="0.66013320638947015"/>
          <c:h val="0.626453024017159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DonationLog!$C$5</c:f>
              <c:strCache>
                <c:ptCount val="1"/>
                <c:pt idx="0">
                  <c:v>Objectif global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 w="19050">
              <a:solidFill>
                <a:schemeClr val="accent1"/>
              </a:solidFill>
            </a:ln>
            <a:effectLst/>
          </c:spPr>
          <c:invertIfNegative val="0"/>
          <c:val>
            <c:numRef>
              <c:f>DonationLog!$D$5</c:f>
              <c:numCache>
                <c:formatCode>#,##0.00_);\(#,##0.00\)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D-4023-B1A1-F18E9B01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overlap val="100"/>
        <c:axId val="202039296"/>
        <c:axId val="202040832"/>
      </c:barChart>
      <c:barChart>
        <c:barDir val="col"/>
        <c:grouping val="clustered"/>
        <c:varyColors val="0"/>
        <c:ser>
          <c:idx val="1"/>
          <c:order val="1"/>
          <c:tx>
            <c:strRef>
              <c:f>DonationLog!$C$7</c:f>
              <c:strCache>
                <c:ptCount val="1"/>
                <c:pt idx="0">
                  <c:v>Overall Total</c:v>
                </c:pt>
              </c:strCache>
            </c:strRef>
          </c:tx>
          <c:spPr>
            <a:ln>
              <a:noFill/>
            </a:ln>
          </c:spPr>
          <c:invertIfNegative val="0"/>
          <c:dLbls>
            <c:dLbl>
              <c:idx val="0"/>
              <c:numFmt formatCode="#,##0" sourceLinked="0"/>
              <c:spPr/>
              <c:txPr>
                <a:bodyPr/>
                <a:lstStyle/>
                <a:p>
                  <a:pPr>
                    <a:defRPr sz="900" b="0"/>
                  </a:pPr>
                  <a:endParaRPr lang="de-DE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81D-4023-B1A1-F18E9B016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/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DonationLog!$D$7</c:f>
              <c:numCache>
                <c:formatCode>#,##0.00_);\(#,##0.00\)</c:formatCode>
                <c:ptCount val="1"/>
                <c:pt idx="0">
                  <c:v>1580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D-4023-B1A1-F18E9B01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207200640"/>
        <c:axId val="202041984"/>
      </c:barChart>
      <c:lineChart>
        <c:grouping val="stacked"/>
        <c:varyColors val="0"/>
        <c:ser>
          <c:idx val="2"/>
          <c:order val="2"/>
          <c:tx>
            <c:strRef>
              <c:f>DonationLog!$C$6</c:f>
              <c:strCache>
                <c:ptCount val="1"/>
                <c:pt idx="0">
                  <c:v>total contributions percues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dash"/>
            <c:size val="15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val>
            <c:numRef>
              <c:f>DonationLog!$D$6</c:f>
              <c:numCache>
                <c:formatCode>#,##0.00_);\(#,##0.00\)</c:formatCode>
                <c:ptCount val="1"/>
                <c:pt idx="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1D-4023-B1A1-F18E9B01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00640"/>
        <c:axId val="202041984"/>
      </c:lineChart>
      <c:catAx>
        <c:axId val="202039296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one"/>
        <c:crossAx val="202040832"/>
        <c:crosses val="autoZero"/>
        <c:auto val="1"/>
        <c:lblAlgn val="ctr"/>
        <c:lblOffset val="100"/>
        <c:noMultiLvlLbl val="0"/>
      </c:catAx>
      <c:valAx>
        <c:axId val="202040832"/>
        <c:scaling>
          <c:orientation val="minMax"/>
          <c:min val="0"/>
        </c:scaling>
        <c:delete val="0"/>
        <c:axPos val="l"/>
        <c:numFmt formatCode="#,##0_);\(#,##0\)" sourceLinked="0"/>
        <c:majorTickMark val="none"/>
        <c:minorTickMark val="none"/>
        <c:tickLblPos val="nextTo"/>
        <c:crossAx val="202039296"/>
        <c:crosses val="autoZero"/>
        <c:crossBetween val="between"/>
      </c:valAx>
      <c:valAx>
        <c:axId val="202041984"/>
        <c:scaling>
          <c:orientation val="minMax"/>
        </c:scaling>
        <c:delete val="1"/>
        <c:axPos val="r"/>
        <c:numFmt formatCode="#,##0.00_);\(#,##0.00\)" sourceLinked="1"/>
        <c:majorTickMark val="out"/>
        <c:minorTickMark val="none"/>
        <c:tickLblPos val="nextTo"/>
        <c:crossAx val="207200640"/>
        <c:crosses val="max"/>
        <c:crossBetween val="between"/>
      </c:valAx>
      <c:catAx>
        <c:axId val="20720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202041984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20528097745079132"/>
          <c:y val="8.2065703429609727E-2"/>
          <c:w val="0.70315961076435884"/>
          <c:h val="0.1260925478816089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microsoft.com/office/2011/relationships/webextension" Target="../webextensions/webextension1.xml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266701</xdr:colOff>
      <xdr:row>0</xdr:row>
      <xdr:rowOff>0</xdr:rowOff>
    </xdr:from>
    <xdr:to>
      <xdr:col>6</xdr:col>
      <xdr:colOff>0</xdr:colOff>
      <xdr:row>18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1466850</xdr:colOff>
      <xdr:row>0</xdr:row>
      <xdr:rowOff>97630</xdr:rowOff>
    </xdr:from>
    <xdr:to>
      <xdr:col>9</xdr:col>
      <xdr:colOff>19050</xdr:colOff>
      <xdr:row>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3000" y="97630"/>
          <a:ext cx="1771650" cy="14930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76200</xdr:rowOff>
    </xdr:from>
    <xdr:to>
      <xdr:col>1</xdr:col>
      <xdr:colOff>1152525</xdr:colOff>
      <xdr:row>18</xdr:row>
      <xdr:rowOff>76200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688DB6E0-0103-4AD0-A1B5-49880DC91D5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688DB6E0-0103-4AD0-A1B5-49880DC91D5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0.42489</cdr:x>
      <cdr:y>0.85753</cdr:y>
    </cdr:from>
    <cdr:to>
      <cdr:x>0.7382</cdr:x>
      <cdr:y>0.98387</cdr:y>
    </cdr:to>
    <cdr:sp macro="" textlink="DonationLog!$D$8">
      <cdr:nvSpPr>
        <cdr:cNvPr id="2" name="Oval 1"/>
        <cdr:cNvSpPr/>
      </cdr:nvSpPr>
      <cdr:spPr>
        <a:xfrm xmlns:a="http://schemas.openxmlformats.org/drawingml/2006/main">
          <a:off x="942974" y="3038475"/>
          <a:ext cx="695326" cy="44767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0" tIns="0" rIns="0" bIns="0" anchor="ctr" anchorCtr="0"/>
        <a:lstStyle xmlns:a="http://schemas.openxmlformats.org/drawingml/2006/main"/>
        <a:p xmlns:a="http://schemas.openxmlformats.org/drawingml/2006/main">
          <a:pPr algn="ctr"/>
          <a:fld id="{5C3CDABE-9B4D-470E-9C18-E543680C48AD}" type="TxLink">
            <a:rPr lang="en-US" sz="1100" b="0" i="0" u="none" strike="noStrike">
              <a:solidFill>
                <a:schemeClr val="bg1"/>
              </a:solidFill>
              <a:latin typeface="Trebuchet MS"/>
            </a:rPr>
            <a:pPr algn="ctr"/>
            <a:t>31,6%</a:t>
          </a:fld>
          <a:endParaRPr lang="en-US" sz="1100">
            <a:solidFill>
              <a:schemeClr val="bg1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ogTable" displayName="logTable" ref="A20:F102" totalsRowShown="0" headerRowDxfId="7" dataDxfId="6">
  <sortState xmlns:xlrd2="http://schemas.microsoft.com/office/spreadsheetml/2017/richdata2" ref="A21:F102">
    <sortCondition descending="1" ref="D21:D102"/>
  </sortState>
  <tableColumns count="6">
    <tableColumn id="1" xr3:uid="{00000000-0010-0000-0000-000001000000}" name="Date" dataDxfId="5"/>
    <tableColumn id="2" xr3:uid="{00000000-0010-0000-0000-000002000000}" name="Noms et premons" dataDxfId="4"/>
    <tableColumn id="12" xr3:uid="{00000000-0010-0000-0000-00000C000000}" name="Type de contribution (individuel ou famille)" dataDxfId="3"/>
    <tableColumn id="4" xr3:uid="{00000000-0010-0000-0000-000004000000}" name="Montant" dataDxfId="2"/>
    <tableColumn id="5" xr3:uid="{00000000-0010-0000-0000-000005000000}" name="Periode" dataDxfId="1">
      <calculatedColumnFormula>IF(AND(A21&gt;=$D$11,A21&lt;=$D$12),"yes","")</calculatedColumnFormula>
    </tableColumn>
    <tableColumn id="10" xr3:uid="{00000000-0010-0000-0000-00000A000000}" name="Remarques/Commentair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Vertex42">
  <a:themeElements>
    <a:clrScheme name="Vertex4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688DB6E0-0103-4AD0-A1B5-49880DC91D55}">
  <we:reference id="wa102957665" version="1.3.0.0" store="de-DE" storeType="OMEX"/>
  <we:alternateReferences>
    <we:reference id="WA102957665" version="1.3.0.0" store="WA102957665" storeType="OMEX"/>
  </we:alternateReferences>
  <we:properties>
    <we:property name="opt_month" value="&quot;2024-02-01&quot;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rtex42.com/ExcelTemplates/donation-track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J102"/>
  <sheetViews>
    <sheetView showGridLines="0" tabSelected="1" topLeftCell="A91" workbookViewId="0">
      <selection activeCell="E114" sqref="E114"/>
    </sheetView>
  </sheetViews>
  <sheetFormatPr baseColWidth="10" defaultColWidth="9.140625" defaultRowHeight="15" x14ac:dyDescent="0.3"/>
  <cols>
    <col min="1" max="1" width="12.5703125" style="1" customWidth="1"/>
    <col min="2" max="2" width="25" style="1" customWidth="1"/>
    <col min="3" max="3" width="37.5703125" customWidth="1"/>
    <col min="4" max="4" width="14" style="1" customWidth="1"/>
    <col min="5" max="5" width="10" style="4" customWidth="1"/>
    <col min="6" max="6" width="40.7109375" style="1" customWidth="1"/>
    <col min="7" max="7" width="6" style="1" customWidth="1"/>
    <col min="8" max="8" width="2.5703125" style="45" customWidth="1"/>
    <col min="9" max="9" width="48.28515625" style="45" customWidth="1"/>
    <col min="10" max="10" width="2.7109375" style="45" customWidth="1"/>
    <col min="11" max="16384" width="9.140625" style="1"/>
  </cols>
  <sheetData>
    <row r="1" spans="1:9" ht="20.25" x14ac:dyDescent="0.3">
      <c r="A1" s="59" t="s">
        <v>7</v>
      </c>
      <c r="B1" s="59"/>
      <c r="C1" s="59"/>
    </row>
    <row r="2" spans="1:9" x14ac:dyDescent="0.3">
      <c r="A2" s="27" t="s">
        <v>8</v>
      </c>
      <c r="B2" s="27"/>
      <c r="C2" s="2"/>
      <c r="D2" s="2"/>
      <c r="E2" s="17"/>
    </row>
    <row r="3" spans="1:9" x14ac:dyDescent="0.3">
      <c r="A3" s="27"/>
      <c r="B3" s="27"/>
      <c r="C3" s="1"/>
      <c r="I3" s="46" t="s">
        <v>6</v>
      </c>
    </row>
    <row r="4" spans="1:9" x14ac:dyDescent="0.3">
      <c r="A4" s="27"/>
      <c r="B4" s="27"/>
      <c r="C4" s="12" t="s">
        <v>10</v>
      </c>
      <c r="D4" s="12"/>
      <c r="I4" s="47"/>
    </row>
    <row r="5" spans="1:9" x14ac:dyDescent="0.3">
      <c r="A5" s="27"/>
      <c r="B5" s="27"/>
      <c r="C5" s="23" t="s">
        <v>9</v>
      </c>
      <c r="D5" s="24">
        <v>5000</v>
      </c>
      <c r="I5" s="48"/>
    </row>
    <row r="6" spans="1:9" x14ac:dyDescent="0.3">
      <c r="A6" s="27"/>
      <c r="B6" s="27"/>
      <c r="C6" s="23" t="s">
        <v>11</v>
      </c>
      <c r="D6" s="24">
        <v>1000</v>
      </c>
      <c r="I6" s="62"/>
    </row>
    <row r="7" spans="1:9" x14ac:dyDescent="0.3">
      <c r="A7" s="27"/>
      <c r="B7" s="27"/>
      <c r="C7" s="23" t="s">
        <v>3</v>
      </c>
      <c r="D7" s="25">
        <f>SUM(logTable[[#All],[Montant]])</f>
        <v>1580</v>
      </c>
      <c r="I7" s="62"/>
    </row>
    <row r="8" spans="1:9" x14ac:dyDescent="0.3">
      <c r="A8" s="27"/>
      <c r="B8" s="27"/>
      <c r="C8" s="23" t="s">
        <v>12</v>
      </c>
      <c r="D8" s="26">
        <f>D7/D5</f>
        <v>0.316</v>
      </c>
      <c r="I8" s="48"/>
    </row>
    <row r="9" spans="1:9" ht="15.75" x14ac:dyDescent="0.3">
      <c r="A9" s="27"/>
      <c r="B9" s="27"/>
      <c r="C9" s="1"/>
      <c r="I9" s="49"/>
    </row>
    <row r="10" spans="1:9" x14ac:dyDescent="0.3">
      <c r="A10" s="27"/>
      <c r="B10" s="27"/>
      <c r="C10" s="12" t="s">
        <v>34</v>
      </c>
      <c r="D10" s="12"/>
      <c r="I10" s="60" t="s">
        <v>21</v>
      </c>
    </row>
    <row r="11" spans="1:9" x14ac:dyDescent="0.3">
      <c r="A11" s="27"/>
      <c r="B11" s="27"/>
      <c r="C11" s="5" t="s">
        <v>13</v>
      </c>
      <c r="D11" s="13">
        <v>44932</v>
      </c>
      <c r="I11" s="61"/>
    </row>
    <row r="12" spans="1:9" x14ac:dyDescent="0.3">
      <c r="A12" s="27"/>
      <c r="B12" s="27"/>
      <c r="C12" s="5" t="s">
        <v>14</v>
      </c>
      <c r="D12" s="13">
        <f>D11+50000</f>
        <v>94932</v>
      </c>
      <c r="I12" s="61"/>
    </row>
    <row r="13" spans="1:9" x14ac:dyDescent="0.3">
      <c r="A13" s="27"/>
      <c r="B13" s="27"/>
      <c r="C13" s="14" t="s">
        <v>2</v>
      </c>
      <c r="D13" s="19">
        <f>SUMIF(logTable[Periode],"=yes",logTable[Montant])</f>
        <v>1580</v>
      </c>
      <c r="I13" s="61"/>
    </row>
    <row r="14" spans="1:9" x14ac:dyDescent="0.3">
      <c r="A14" s="27"/>
      <c r="B14" s="27"/>
      <c r="C14" s="2"/>
      <c r="D14" s="2"/>
      <c r="I14" s="61"/>
    </row>
    <row r="15" spans="1:9" x14ac:dyDescent="0.3">
      <c r="A15" s="27"/>
      <c r="B15" s="27"/>
      <c r="C15" s="12" t="s">
        <v>1</v>
      </c>
      <c r="D15" s="12"/>
      <c r="I15" s="61"/>
    </row>
    <row r="16" spans="1:9" x14ac:dyDescent="0.3">
      <c r="A16" s="27"/>
      <c r="B16" s="27"/>
      <c r="C16" s="5" t="s">
        <v>1</v>
      </c>
      <c r="D16" s="13">
        <f ca="1">TODAY()</f>
        <v>45423</v>
      </c>
      <c r="E16" s="17"/>
      <c r="I16" s="61"/>
    </row>
    <row r="17" spans="1:10" x14ac:dyDescent="0.3">
      <c r="A17" s="27"/>
      <c r="B17" s="27"/>
      <c r="C17" s="14"/>
      <c r="D17" s="19"/>
      <c r="E17" s="17"/>
      <c r="I17" s="61"/>
    </row>
    <row r="18" spans="1:10" x14ac:dyDescent="0.3">
      <c r="A18" s="27"/>
      <c r="B18" s="27"/>
      <c r="C18" s="2"/>
      <c r="D18" s="2"/>
      <c r="E18" s="17"/>
      <c r="I18" s="61"/>
    </row>
    <row r="19" spans="1:10" x14ac:dyDescent="0.3">
      <c r="A19" s="27"/>
      <c r="B19" s="27"/>
      <c r="C19" s="2"/>
      <c r="D19" s="2"/>
      <c r="E19" s="17"/>
      <c r="F19"/>
      <c r="I19" s="61"/>
    </row>
    <row r="20" spans="1:10" s="3" customFormat="1" ht="30" x14ac:dyDescent="0.3">
      <c r="A20" s="6" t="s">
        <v>0</v>
      </c>
      <c r="B20" s="6" t="s">
        <v>15</v>
      </c>
      <c r="C20" s="6" t="s">
        <v>16</v>
      </c>
      <c r="D20" s="7" t="s">
        <v>17</v>
      </c>
      <c r="E20" s="6" t="s">
        <v>19</v>
      </c>
      <c r="F20" s="6" t="s">
        <v>18</v>
      </c>
      <c r="H20" s="51"/>
      <c r="I20" s="50"/>
      <c r="J20" s="51"/>
    </row>
    <row r="21" spans="1:10" x14ac:dyDescent="0.3">
      <c r="A21" s="8">
        <v>44946</v>
      </c>
      <c r="B21" s="9" t="s">
        <v>22</v>
      </c>
      <c r="C21" s="10" t="s">
        <v>25</v>
      </c>
      <c r="D21" s="16">
        <v>100</v>
      </c>
      <c r="E21" s="18" t="str">
        <f t="shared" ref="E21:E52" si="0">IF(AND(A21&gt;=$D$11,A21&lt;=$D$12),"yes","")</f>
        <v>yes</v>
      </c>
      <c r="F21" s="11"/>
    </row>
    <row r="22" spans="1:10" x14ac:dyDescent="0.3">
      <c r="A22" s="8">
        <v>45250</v>
      </c>
      <c r="B22" s="9" t="s">
        <v>26</v>
      </c>
      <c r="C22" s="10" t="s">
        <v>23</v>
      </c>
      <c r="D22" s="16">
        <v>100</v>
      </c>
      <c r="E22" s="18" t="str">
        <f t="shared" si="0"/>
        <v>yes</v>
      </c>
      <c r="F22" s="11"/>
    </row>
    <row r="23" spans="1:10" x14ac:dyDescent="0.3">
      <c r="A23" s="8">
        <v>45333</v>
      </c>
      <c r="B23" s="9" t="s">
        <v>28</v>
      </c>
      <c r="C23" s="10" t="s">
        <v>23</v>
      </c>
      <c r="D23" s="16">
        <v>100</v>
      </c>
      <c r="E23" s="18" t="str">
        <f t="shared" si="0"/>
        <v>yes</v>
      </c>
      <c r="F23" s="11"/>
    </row>
    <row r="24" spans="1:10" x14ac:dyDescent="0.3">
      <c r="A24" s="8">
        <v>45324</v>
      </c>
      <c r="B24" s="9" t="s">
        <v>29</v>
      </c>
      <c r="C24" s="10" t="s">
        <v>30</v>
      </c>
      <c r="D24" s="16">
        <v>100</v>
      </c>
      <c r="E24" s="18" t="str">
        <f t="shared" si="0"/>
        <v>yes</v>
      </c>
      <c r="F24" s="11"/>
    </row>
    <row r="25" spans="1:10" x14ac:dyDescent="0.3">
      <c r="A25" s="8">
        <v>44977</v>
      </c>
      <c r="B25" s="9" t="s">
        <v>24</v>
      </c>
      <c r="C25" s="10" t="s">
        <v>25</v>
      </c>
      <c r="D25" s="16">
        <v>60</v>
      </c>
      <c r="E25" s="18" t="str">
        <f t="shared" si="0"/>
        <v>yes</v>
      </c>
      <c r="F25" s="11"/>
    </row>
    <row r="26" spans="1:10" x14ac:dyDescent="0.3">
      <c r="A26" s="8">
        <v>45301</v>
      </c>
      <c r="B26" s="9" t="s">
        <v>27</v>
      </c>
      <c r="C26" s="10" t="s">
        <v>25</v>
      </c>
      <c r="D26" s="16">
        <v>60</v>
      </c>
      <c r="E26" s="18" t="str">
        <f t="shared" si="0"/>
        <v>yes</v>
      </c>
      <c r="F26" s="11"/>
    </row>
    <row r="27" spans="1:10" x14ac:dyDescent="0.3">
      <c r="A27" s="8">
        <v>44999</v>
      </c>
      <c r="B27" s="9" t="s">
        <v>31</v>
      </c>
      <c r="C27" s="20" t="s">
        <v>25</v>
      </c>
      <c r="D27" s="21">
        <v>60</v>
      </c>
      <c r="E27" s="22" t="str">
        <f t="shared" si="0"/>
        <v>yes</v>
      </c>
      <c r="F27" s="15"/>
    </row>
    <row r="28" spans="1:10" x14ac:dyDescent="0.3">
      <c r="A28" s="8">
        <v>45336</v>
      </c>
      <c r="B28" s="9" t="s">
        <v>32</v>
      </c>
      <c r="C28" s="20" t="s">
        <v>23</v>
      </c>
      <c r="D28" s="21">
        <v>1000</v>
      </c>
      <c r="E28" s="22" t="str">
        <f t="shared" si="0"/>
        <v>yes</v>
      </c>
      <c r="F28" s="15" t="s">
        <v>33</v>
      </c>
    </row>
    <row r="29" spans="1:10" x14ac:dyDescent="0.3">
      <c r="A29" s="8">
        <v>45420</v>
      </c>
      <c r="B29" s="9"/>
      <c r="C29" s="20"/>
      <c r="D29" s="21"/>
      <c r="E29" s="22" t="str">
        <f t="shared" si="0"/>
        <v>yes</v>
      </c>
      <c r="F29" s="15"/>
    </row>
    <row r="30" spans="1:10" x14ac:dyDescent="0.3">
      <c r="A30" s="8">
        <v>45512</v>
      </c>
      <c r="B30" s="9"/>
      <c r="C30" s="20"/>
      <c r="D30" s="21"/>
      <c r="E30" s="22" t="str">
        <f t="shared" si="0"/>
        <v>yes</v>
      </c>
      <c r="F30" s="15"/>
    </row>
    <row r="31" spans="1:10" x14ac:dyDescent="0.3">
      <c r="A31" s="8">
        <v>45519</v>
      </c>
      <c r="B31" s="9"/>
      <c r="C31" s="20" t="s">
        <v>23</v>
      </c>
      <c r="D31" s="21"/>
      <c r="E31" s="22" t="str">
        <f t="shared" si="0"/>
        <v>yes</v>
      </c>
      <c r="F31" s="15"/>
    </row>
    <row r="32" spans="1:10" x14ac:dyDescent="0.3">
      <c r="A32" s="8">
        <v>45512</v>
      </c>
      <c r="B32" s="9"/>
      <c r="C32" s="20"/>
      <c r="D32" s="21"/>
      <c r="E32" s="22" t="str">
        <f t="shared" si="0"/>
        <v>yes</v>
      </c>
      <c r="F32" s="15"/>
    </row>
    <row r="33" spans="1:6" x14ac:dyDescent="0.3">
      <c r="A33" s="8"/>
      <c r="B33" s="9"/>
      <c r="C33" s="20"/>
      <c r="D33" s="21"/>
      <c r="E33" s="22" t="str">
        <f t="shared" si="0"/>
        <v/>
      </c>
      <c r="F33" s="15"/>
    </row>
    <row r="34" spans="1:6" x14ac:dyDescent="0.3">
      <c r="A34" s="8"/>
      <c r="B34" s="9"/>
      <c r="C34" s="20"/>
      <c r="D34" s="21"/>
      <c r="E34" s="22" t="str">
        <f t="shared" si="0"/>
        <v/>
      </c>
      <c r="F34" s="15"/>
    </row>
    <row r="35" spans="1:6" x14ac:dyDescent="0.3">
      <c r="A35" s="8"/>
      <c r="B35" s="9"/>
      <c r="C35" s="20"/>
      <c r="D35" s="21"/>
      <c r="E35" s="22" t="str">
        <f t="shared" si="0"/>
        <v/>
      </c>
      <c r="F35" s="15"/>
    </row>
    <row r="36" spans="1:6" x14ac:dyDescent="0.3">
      <c r="A36" s="8"/>
      <c r="B36" s="9"/>
      <c r="C36" s="20"/>
      <c r="D36" s="21"/>
      <c r="E36" s="22" t="str">
        <f t="shared" si="0"/>
        <v/>
      </c>
      <c r="F36" s="15"/>
    </row>
    <row r="37" spans="1:6" x14ac:dyDescent="0.3">
      <c r="A37" s="8"/>
      <c r="B37" s="9"/>
      <c r="C37" s="20"/>
      <c r="D37" s="21"/>
      <c r="E37" s="22" t="str">
        <f t="shared" si="0"/>
        <v/>
      </c>
      <c r="F37" s="15"/>
    </row>
    <row r="38" spans="1:6" x14ac:dyDescent="0.3">
      <c r="A38" s="8"/>
      <c r="B38" s="9"/>
      <c r="C38" s="20"/>
      <c r="D38" s="21"/>
      <c r="E38" s="22" t="str">
        <f t="shared" si="0"/>
        <v/>
      </c>
      <c r="F38" s="15"/>
    </row>
    <row r="39" spans="1:6" x14ac:dyDescent="0.3">
      <c r="A39" s="8"/>
      <c r="B39" s="9"/>
      <c r="C39" s="20"/>
      <c r="D39" s="21"/>
      <c r="E39" s="22" t="str">
        <f t="shared" si="0"/>
        <v/>
      </c>
      <c r="F39" s="15"/>
    </row>
    <row r="40" spans="1:6" x14ac:dyDescent="0.3">
      <c r="A40" s="8"/>
      <c r="B40" s="9"/>
      <c r="C40" s="20"/>
      <c r="D40" s="21"/>
      <c r="E40" s="22" t="str">
        <f t="shared" si="0"/>
        <v/>
      </c>
      <c r="F40" s="15"/>
    </row>
    <row r="41" spans="1:6" x14ac:dyDescent="0.3">
      <c r="A41" s="8"/>
      <c r="B41" s="9"/>
      <c r="C41" s="20"/>
      <c r="D41" s="21"/>
      <c r="E41" s="22" t="str">
        <f t="shared" si="0"/>
        <v/>
      </c>
      <c r="F41" s="15"/>
    </row>
    <row r="42" spans="1:6" x14ac:dyDescent="0.3">
      <c r="A42" s="8"/>
      <c r="B42" s="9"/>
      <c r="C42" s="20"/>
      <c r="D42" s="21"/>
      <c r="E42" s="22" t="str">
        <f t="shared" si="0"/>
        <v/>
      </c>
      <c r="F42" s="15"/>
    </row>
    <row r="43" spans="1:6" x14ac:dyDescent="0.3">
      <c r="A43" s="8"/>
      <c r="B43" s="9"/>
      <c r="C43" s="20"/>
      <c r="D43" s="21"/>
      <c r="E43" s="22" t="str">
        <f t="shared" si="0"/>
        <v/>
      </c>
      <c r="F43" s="15"/>
    </row>
    <row r="44" spans="1:6" x14ac:dyDescent="0.3">
      <c r="A44" s="8"/>
      <c r="B44" s="9"/>
      <c r="C44" s="20"/>
      <c r="D44" s="21"/>
      <c r="E44" s="22" t="str">
        <f t="shared" si="0"/>
        <v/>
      </c>
      <c r="F44" s="15"/>
    </row>
    <row r="45" spans="1:6" x14ac:dyDescent="0.3">
      <c r="A45" s="8"/>
      <c r="B45" s="9"/>
      <c r="C45" s="20"/>
      <c r="D45" s="21"/>
      <c r="E45" s="22" t="str">
        <f t="shared" si="0"/>
        <v/>
      </c>
      <c r="F45" s="15"/>
    </row>
    <row r="46" spans="1:6" x14ac:dyDescent="0.3">
      <c r="A46" s="8"/>
      <c r="B46" s="9"/>
      <c r="C46" s="20"/>
      <c r="D46" s="21"/>
      <c r="E46" s="22" t="str">
        <f t="shared" si="0"/>
        <v/>
      </c>
      <c r="F46" s="15"/>
    </row>
    <row r="47" spans="1:6" x14ac:dyDescent="0.3">
      <c r="A47" s="8"/>
      <c r="B47" s="9"/>
      <c r="C47" s="20"/>
      <c r="D47" s="21"/>
      <c r="E47" s="22" t="str">
        <f t="shared" si="0"/>
        <v/>
      </c>
      <c r="F47" s="15"/>
    </row>
    <row r="48" spans="1:6" x14ac:dyDescent="0.3">
      <c r="A48" s="8"/>
      <c r="B48" s="9"/>
      <c r="C48" s="20"/>
      <c r="D48" s="21"/>
      <c r="E48" s="22" t="str">
        <f t="shared" si="0"/>
        <v/>
      </c>
      <c r="F48" s="15"/>
    </row>
    <row r="49" spans="1:6" x14ac:dyDescent="0.3">
      <c r="A49" s="8"/>
      <c r="B49" s="9"/>
      <c r="C49" s="20"/>
      <c r="D49" s="21"/>
      <c r="E49" s="22" t="str">
        <f t="shared" si="0"/>
        <v/>
      </c>
      <c r="F49" s="15"/>
    </row>
    <row r="50" spans="1:6" x14ac:dyDescent="0.3">
      <c r="A50" s="8"/>
      <c r="B50" s="9"/>
      <c r="C50" s="20"/>
      <c r="D50" s="21"/>
      <c r="E50" s="22" t="str">
        <f t="shared" si="0"/>
        <v/>
      </c>
      <c r="F50" s="15"/>
    </row>
    <row r="51" spans="1:6" x14ac:dyDescent="0.3">
      <c r="A51" s="8"/>
      <c r="B51" s="9"/>
      <c r="C51" s="20"/>
      <c r="D51" s="21"/>
      <c r="E51" s="22" t="str">
        <f t="shared" si="0"/>
        <v/>
      </c>
      <c r="F51" s="15"/>
    </row>
    <row r="52" spans="1:6" x14ac:dyDescent="0.3">
      <c r="A52" s="8"/>
      <c r="B52" s="9"/>
      <c r="C52" s="20"/>
      <c r="D52" s="21"/>
      <c r="E52" s="22" t="str">
        <f t="shared" si="0"/>
        <v/>
      </c>
      <c r="F52" s="15"/>
    </row>
    <row r="53" spans="1:6" x14ac:dyDescent="0.3">
      <c r="A53" s="52"/>
      <c r="B53" s="53"/>
      <c r="C53" s="54"/>
      <c r="D53" s="55"/>
      <c r="E53" s="56" t="str">
        <f t="shared" ref="E53:E84" si="1">IF(AND(A53&gt;=$D$11,A53&lt;=$D$12),"yes","")</f>
        <v/>
      </c>
      <c r="F53" s="57"/>
    </row>
    <row r="54" spans="1:6" x14ac:dyDescent="0.3">
      <c r="A54" s="52"/>
      <c r="B54" s="53"/>
      <c r="C54" s="54"/>
      <c r="D54" s="55"/>
      <c r="E54" s="56" t="str">
        <f t="shared" si="1"/>
        <v/>
      </c>
      <c r="F54" s="57"/>
    </row>
    <row r="55" spans="1:6" x14ac:dyDescent="0.3">
      <c r="A55" s="52"/>
      <c r="B55" s="53"/>
      <c r="C55" s="54"/>
      <c r="D55" s="55"/>
      <c r="E55" s="56" t="str">
        <f t="shared" si="1"/>
        <v/>
      </c>
      <c r="F55" s="57"/>
    </row>
    <row r="56" spans="1:6" x14ac:dyDescent="0.3">
      <c r="A56" s="52"/>
      <c r="B56" s="53"/>
      <c r="C56" s="54"/>
      <c r="D56" s="55"/>
      <c r="E56" s="56" t="str">
        <f t="shared" si="1"/>
        <v/>
      </c>
      <c r="F56" s="57"/>
    </row>
    <row r="57" spans="1:6" x14ac:dyDescent="0.3">
      <c r="A57" s="52"/>
      <c r="B57" s="53"/>
      <c r="C57" s="54"/>
      <c r="D57" s="55"/>
      <c r="E57" s="56" t="str">
        <f t="shared" si="1"/>
        <v/>
      </c>
      <c r="F57" s="57"/>
    </row>
    <row r="58" spans="1:6" x14ac:dyDescent="0.3">
      <c r="A58" s="52"/>
      <c r="B58" s="53"/>
      <c r="C58" s="54"/>
      <c r="D58" s="55"/>
      <c r="E58" s="56" t="str">
        <f t="shared" si="1"/>
        <v/>
      </c>
      <c r="F58" s="57"/>
    </row>
    <row r="59" spans="1:6" x14ac:dyDescent="0.3">
      <c r="A59" s="52"/>
      <c r="B59" s="53"/>
      <c r="C59" s="54"/>
      <c r="D59" s="55"/>
      <c r="E59" s="56" t="str">
        <f t="shared" si="1"/>
        <v/>
      </c>
      <c r="F59" s="57"/>
    </row>
    <row r="60" spans="1:6" x14ac:dyDescent="0.3">
      <c r="A60" s="52"/>
      <c r="B60" s="53"/>
      <c r="C60" s="54"/>
      <c r="D60" s="55"/>
      <c r="E60" s="56" t="str">
        <f t="shared" si="1"/>
        <v/>
      </c>
      <c r="F60" s="57"/>
    </row>
    <row r="61" spans="1:6" x14ac:dyDescent="0.3">
      <c r="A61" s="52"/>
      <c r="B61" s="53"/>
      <c r="C61" s="54"/>
      <c r="D61" s="55"/>
      <c r="E61" s="56" t="str">
        <f t="shared" si="1"/>
        <v/>
      </c>
      <c r="F61" s="57"/>
    </row>
    <row r="62" spans="1:6" x14ac:dyDescent="0.3">
      <c r="A62" s="52"/>
      <c r="B62" s="53"/>
      <c r="C62" s="54"/>
      <c r="D62" s="55"/>
      <c r="E62" s="56" t="str">
        <f t="shared" si="1"/>
        <v/>
      </c>
      <c r="F62" s="57"/>
    </row>
    <row r="63" spans="1:6" x14ac:dyDescent="0.3">
      <c r="A63" s="52"/>
      <c r="B63" s="53"/>
      <c r="C63" s="54"/>
      <c r="D63" s="55"/>
      <c r="E63" s="56" t="str">
        <f t="shared" si="1"/>
        <v/>
      </c>
      <c r="F63" s="57"/>
    </row>
    <row r="64" spans="1:6" x14ac:dyDescent="0.3">
      <c r="A64" s="52"/>
      <c r="B64" s="53"/>
      <c r="C64" s="54"/>
      <c r="D64" s="55"/>
      <c r="E64" s="56" t="str">
        <f t="shared" si="1"/>
        <v/>
      </c>
      <c r="F64" s="57"/>
    </row>
    <row r="65" spans="1:6" x14ac:dyDescent="0.3">
      <c r="A65" s="52"/>
      <c r="B65" s="53"/>
      <c r="C65" s="54"/>
      <c r="D65" s="55"/>
      <c r="E65" s="56" t="str">
        <f t="shared" si="1"/>
        <v/>
      </c>
      <c r="F65" s="57"/>
    </row>
    <row r="66" spans="1:6" x14ac:dyDescent="0.3">
      <c r="A66" s="52"/>
      <c r="B66" s="53"/>
      <c r="C66" s="54"/>
      <c r="D66" s="55"/>
      <c r="E66" s="56" t="str">
        <f t="shared" si="1"/>
        <v/>
      </c>
      <c r="F66" s="57"/>
    </row>
    <row r="67" spans="1:6" x14ac:dyDescent="0.3">
      <c r="A67" s="52"/>
      <c r="B67" s="53"/>
      <c r="C67" s="54"/>
      <c r="D67" s="55"/>
      <c r="E67" s="56" t="str">
        <f t="shared" si="1"/>
        <v/>
      </c>
      <c r="F67" s="57"/>
    </row>
    <row r="68" spans="1:6" x14ac:dyDescent="0.3">
      <c r="A68" s="52"/>
      <c r="B68" s="53"/>
      <c r="C68" s="54"/>
      <c r="D68" s="55"/>
      <c r="E68" s="56" t="str">
        <f t="shared" si="1"/>
        <v/>
      </c>
      <c r="F68" s="57"/>
    </row>
    <row r="69" spans="1:6" x14ac:dyDescent="0.3">
      <c r="A69" s="52"/>
      <c r="B69" s="53"/>
      <c r="C69" s="54"/>
      <c r="D69" s="55"/>
      <c r="E69" s="56" t="str">
        <f t="shared" si="1"/>
        <v/>
      </c>
      <c r="F69" s="57"/>
    </row>
    <row r="70" spans="1:6" x14ac:dyDescent="0.3">
      <c r="A70" s="52"/>
      <c r="B70" s="53"/>
      <c r="C70" s="54"/>
      <c r="D70" s="55"/>
      <c r="E70" s="56" t="str">
        <f t="shared" si="1"/>
        <v/>
      </c>
      <c r="F70" s="57"/>
    </row>
    <row r="71" spans="1:6" x14ac:dyDescent="0.3">
      <c r="A71" s="52"/>
      <c r="B71" s="53"/>
      <c r="C71" s="54"/>
      <c r="D71" s="55"/>
      <c r="E71" s="56" t="str">
        <f t="shared" si="1"/>
        <v/>
      </c>
      <c r="F71" s="57"/>
    </row>
    <row r="72" spans="1:6" x14ac:dyDescent="0.3">
      <c r="A72" s="52"/>
      <c r="B72" s="53"/>
      <c r="C72" s="54"/>
      <c r="D72" s="55"/>
      <c r="E72" s="56" t="str">
        <f t="shared" si="1"/>
        <v/>
      </c>
      <c r="F72" s="57"/>
    </row>
    <row r="73" spans="1:6" x14ac:dyDescent="0.3">
      <c r="A73" s="52"/>
      <c r="B73" s="53"/>
      <c r="C73" s="54"/>
      <c r="D73" s="55"/>
      <c r="E73" s="56" t="str">
        <f t="shared" si="1"/>
        <v/>
      </c>
      <c r="F73" s="57"/>
    </row>
    <row r="74" spans="1:6" x14ac:dyDescent="0.3">
      <c r="A74" s="52"/>
      <c r="B74" s="53"/>
      <c r="C74" s="54"/>
      <c r="D74" s="55"/>
      <c r="E74" s="56" t="str">
        <f t="shared" si="1"/>
        <v/>
      </c>
      <c r="F74" s="57"/>
    </row>
    <row r="75" spans="1:6" x14ac:dyDescent="0.3">
      <c r="A75" s="52"/>
      <c r="B75" s="53"/>
      <c r="C75" s="54"/>
      <c r="D75" s="55"/>
      <c r="E75" s="56" t="str">
        <f t="shared" si="1"/>
        <v/>
      </c>
      <c r="F75" s="57"/>
    </row>
    <row r="76" spans="1:6" x14ac:dyDescent="0.3">
      <c r="A76" s="52"/>
      <c r="B76" s="53"/>
      <c r="C76" s="54"/>
      <c r="D76" s="55"/>
      <c r="E76" s="56" t="str">
        <f t="shared" si="1"/>
        <v/>
      </c>
      <c r="F76" s="57"/>
    </row>
    <row r="77" spans="1:6" x14ac:dyDescent="0.3">
      <c r="A77" s="52"/>
      <c r="B77" s="53"/>
      <c r="C77" s="54"/>
      <c r="D77" s="55"/>
      <c r="E77" s="56" t="str">
        <f t="shared" si="1"/>
        <v/>
      </c>
      <c r="F77" s="57"/>
    </row>
    <row r="78" spans="1:6" x14ac:dyDescent="0.3">
      <c r="A78" s="8"/>
      <c r="B78" s="9"/>
      <c r="C78" s="20"/>
      <c r="D78" s="21"/>
      <c r="E78" s="22" t="str">
        <f t="shared" si="1"/>
        <v/>
      </c>
      <c r="F78" s="15"/>
    </row>
    <row r="79" spans="1:6" x14ac:dyDescent="0.3">
      <c r="A79" s="52"/>
      <c r="B79" s="53"/>
      <c r="C79" s="54"/>
      <c r="D79" s="55"/>
      <c r="E79" s="56" t="str">
        <f t="shared" si="1"/>
        <v/>
      </c>
      <c r="F79" s="57"/>
    </row>
    <row r="80" spans="1:6" x14ac:dyDescent="0.3">
      <c r="A80" s="52"/>
      <c r="B80" s="53"/>
      <c r="C80" s="54"/>
      <c r="D80" s="55"/>
      <c r="E80" s="56" t="str">
        <f t="shared" si="1"/>
        <v/>
      </c>
      <c r="F80" s="57"/>
    </row>
    <row r="81" spans="1:6" x14ac:dyDescent="0.3">
      <c r="A81" s="52"/>
      <c r="B81" s="53"/>
      <c r="C81" s="54"/>
      <c r="D81" s="55"/>
      <c r="E81" s="56" t="str">
        <f t="shared" si="1"/>
        <v/>
      </c>
      <c r="F81" s="57"/>
    </row>
    <row r="82" spans="1:6" x14ac:dyDescent="0.3">
      <c r="A82" s="52"/>
      <c r="B82" s="53"/>
      <c r="C82" s="54"/>
      <c r="D82" s="55"/>
      <c r="E82" s="56" t="str">
        <f t="shared" si="1"/>
        <v/>
      </c>
      <c r="F82" s="57"/>
    </row>
    <row r="83" spans="1:6" x14ac:dyDescent="0.3">
      <c r="A83" s="52"/>
      <c r="B83" s="53"/>
      <c r="C83" s="54"/>
      <c r="D83" s="55"/>
      <c r="E83" s="56" t="str">
        <f t="shared" si="1"/>
        <v/>
      </c>
      <c r="F83" s="57"/>
    </row>
    <row r="84" spans="1:6" x14ac:dyDescent="0.3">
      <c r="A84" s="52"/>
      <c r="B84" s="53"/>
      <c r="C84" s="54"/>
      <c r="D84" s="55"/>
      <c r="E84" s="56" t="str">
        <f t="shared" si="1"/>
        <v/>
      </c>
      <c r="F84" s="57"/>
    </row>
    <row r="85" spans="1:6" x14ac:dyDescent="0.3">
      <c r="A85" s="52"/>
      <c r="B85" s="53"/>
      <c r="C85" s="54"/>
      <c r="D85" s="55"/>
      <c r="E85" s="56" t="str">
        <f t="shared" ref="E85:E102" si="2">IF(AND(A85&gt;=$D$11,A85&lt;=$D$12),"yes","")</f>
        <v/>
      </c>
      <c r="F85" s="57"/>
    </row>
    <row r="86" spans="1:6" x14ac:dyDescent="0.3">
      <c r="A86" s="52"/>
      <c r="B86" s="53"/>
      <c r="C86" s="54"/>
      <c r="D86" s="55"/>
      <c r="E86" s="56" t="str">
        <f t="shared" si="2"/>
        <v/>
      </c>
      <c r="F86" s="57"/>
    </row>
    <row r="87" spans="1:6" x14ac:dyDescent="0.3">
      <c r="A87" s="52"/>
      <c r="B87" s="53"/>
      <c r="C87" s="54"/>
      <c r="D87" s="55"/>
      <c r="E87" s="56" t="str">
        <f t="shared" si="2"/>
        <v/>
      </c>
      <c r="F87" s="57"/>
    </row>
    <row r="88" spans="1:6" x14ac:dyDescent="0.3">
      <c r="A88" s="52"/>
      <c r="B88" s="53"/>
      <c r="C88" s="54"/>
      <c r="D88" s="55"/>
      <c r="E88" s="56" t="str">
        <f t="shared" si="2"/>
        <v/>
      </c>
      <c r="F88" s="57"/>
    </row>
    <row r="89" spans="1:6" x14ac:dyDescent="0.3">
      <c r="A89" s="8"/>
      <c r="B89" s="9"/>
      <c r="C89" s="20"/>
      <c r="D89" s="21"/>
      <c r="E89" s="22" t="str">
        <f t="shared" si="2"/>
        <v/>
      </c>
      <c r="F89" s="15"/>
    </row>
    <row r="90" spans="1:6" x14ac:dyDescent="0.3">
      <c r="A90" s="8"/>
      <c r="B90" s="9"/>
      <c r="C90" s="20"/>
      <c r="D90" s="21"/>
      <c r="E90" s="22" t="str">
        <f t="shared" si="2"/>
        <v/>
      </c>
      <c r="F90" s="15"/>
    </row>
    <row r="91" spans="1:6" x14ac:dyDescent="0.3">
      <c r="A91" s="8"/>
      <c r="B91" s="9"/>
      <c r="C91" s="20"/>
      <c r="D91" s="58"/>
      <c r="E91" s="22" t="str">
        <f t="shared" si="2"/>
        <v/>
      </c>
      <c r="F91" s="15"/>
    </row>
    <row r="92" spans="1:6" x14ac:dyDescent="0.3">
      <c r="A92" s="8"/>
      <c r="B92" s="9"/>
      <c r="C92" s="20"/>
      <c r="D92" s="58"/>
      <c r="E92" s="22" t="str">
        <f t="shared" si="2"/>
        <v/>
      </c>
      <c r="F92" s="15"/>
    </row>
    <row r="93" spans="1:6" x14ac:dyDescent="0.3">
      <c r="A93" s="8"/>
      <c r="B93" s="9"/>
      <c r="C93" s="20"/>
      <c r="D93" s="58"/>
      <c r="E93" s="22" t="str">
        <f t="shared" si="2"/>
        <v/>
      </c>
      <c r="F93" s="15"/>
    </row>
    <row r="94" spans="1:6" x14ac:dyDescent="0.3">
      <c r="A94" s="8"/>
      <c r="B94" s="9"/>
      <c r="C94" s="20"/>
      <c r="D94" s="58"/>
      <c r="E94" s="22" t="str">
        <f t="shared" si="2"/>
        <v/>
      </c>
      <c r="F94" s="15"/>
    </row>
    <row r="95" spans="1:6" x14ac:dyDescent="0.3">
      <c r="A95" s="8"/>
      <c r="B95" s="9"/>
      <c r="C95" s="20"/>
      <c r="D95" s="58"/>
      <c r="E95" s="22" t="str">
        <f t="shared" si="2"/>
        <v/>
      </c>
      <c r="F95" s="15"/>
    </row>
    <row r="96" spans="1:6" x14ac:dyDescent="0.3">
      <c r="A96" s="8"/>
      <c r="B96" s="9"/>
      <c r="C96" s="20"/>
      <c r="D96" s="58"/>
      <c r="E96" s="22" t="str">
        <f t="shared" si="2"/>
        <v/>
      </c>
      <c r="F96" s="15"/>
    </row>
    <row r="97" spans="1:6" x14ac:dyDescent="0.3">
      <c r="A97" s="8"/>
      <c r="B97" s="9"/>
      <c r="C97" s="20"/>
      <c r="D97" s="58"/>
      <c r="E97" s="22" t="str">
        <f t="shared" si="2"/>
        <v/>
      </c>
      <c r="F97" s="15"/>
    </row>
    <row r="98" spans="1:6" x14ac:dyDescent="0.3">
      <c r="A98" s="8"/>
      <c r="B98" s="9"/>
      <c r="C98" s="20"/>
      <c r="D98" s="58"/>
      <c r="E98" s="22" t="str">
        <f t="shared" si="2"/>
        <v/>
      </c>
      <c r="F98" s="15"/>
    </row>
    <row r="99" spans="1:6" x14ac:dyDescent="0.3">
      <c r="A99" s="8"/>
      <c r="B99" s="9"/>
      <c r="C99" s="20"/>
      <c r="D99" s="58"/>
      <c r="E99" s="22" t="str">
        <f t="shared" si="2"/>
        <v/>
      </c>
      <c r="F99" s="15"/>
    </row>
    <row r="100" spans="1:6" x14ac:dyDescent="0.3">
      <c r="A100" s="8"/>
      <c r="B100" s="9"/>
      <c r="C100" s="20"/>
      <c r="D100" s="58"/>
      <c r="E100" s="22" t="str">
        <f t="shared" si="2"/>
        <v/>
      </c>
      <c r="F100" s="15"/>
    </row>
    <row r="101" spans="1:6" x14ac:dyDescent="0.3">
      <c r="A101" s="8"/>
      <c r="B101" s="9"/>
      <c r="C101" s="20"/>
      <c r="D101" s="21"/>
      <c r="E101" s="22" t="str">
        <f t="shared" si="2"/>
        <v/>
      </c>
      <c r="F101" s="15"/>
    </row>
    <row r="102" spans="1:6" x14ac:dyDescent="0.3">
      <c r="A102" s="28"/>
      <c r="B102" s="29"/>
      <c r="C102" s="30"/>
      <c r="D102" s="31"/>
      <c r="E102" s="32" t="str">
        <f t="shared" si="2"/>
        <v/>
      </c>
      <c r="F102" s="33" t="s">
        <v>20</v>
      </c>
    </row>
  </sheetData>
  <mergeCells count="7">
    <mergeCell ref="I16:I17"/>
    <mergeCell ref="I18:I19"/>
    <mergeCell ref="A1:C1"/>
    <mergeCell ref="I10:I11"/>
    <mergeCell ref="I6:I7"/>
    <mergeCell ref="I12:I13"/>
    <mergeCell ref="I14:I15"/>
  </mergeCells>
  <phoneticPr fontId="0" type="noConversion"/>
  <dataValidations count="1">
    <dataValidation type="list" allowBlank="1" showInputMessage="1" showErrorMessage="1" promptTitle="Type de contribution" prompt="Selectionnez le type de contribution de l'adherent(e)" sqref="C21:C101" xr:uid="{77793ADD-EAFD-41FB-BD0C-FEC8AB1DC7DC}">
      <formula1>"Individuelle,Famille"</formula1>
    </dataValidation>
  </dataValidations>
  <printOptions horizontalCentered="1"/>
  <pageMargins left="0.5" right="0.5" top="0.5" bottom="0.5" header="0.25" footer="0.25"/>
  <pageSetup fitToHeight="0" orientation="portrait" r:id="rId1"/>
  <headerFooter alignWithMargins="0">
    <oddHeader>&amp;CPage &amp;P of &amp;N</oddHeader>
    <oddFooter>&amp;CPage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C29"/>
  <sheetViews>
    <sheetView showGridLines="0" workbookViewId="0">
      <selection activeCell="B14" sqref="B14"/>
    </sheetView>
  </sheetViews>
  <sheetFormatPr baseColWidth="10" defaultColWidth="9.140625" defaultRowHeight="15" x14ac:dyDescent="0.3"/>
  <cols>
    <col min="1" max="1" width="3" style="43" customWidth="1"/>
    <col min="2" max="2" width="76" style="43" customWidth="1"/>
  </cols>
  <sheetData>
    <row r="1" spans="1:3" ht="32.1" customHeight="1" x14ac:dyDescent="0.3">
      <c r="A1" s="34"/>
      <c r="B1" s="35" t="s">
        <v>37</v>
      </c>
      <c r="C1" s="36"/>
    </row>
    <row r="2" spans="1:3" ht="16.5" x14ac:dyDescent="0.3">
      <c r="A2" s="34"/>
      <c r="B2" s="37"/>
      <c r="C2" s="36"/>
    </row>
    <row r="3" spans="1:3" ht="15.75" x14ac:dyDescent="0.3">
      <c r="A3" s="34"/>
      <c r="B3" s="38" t="s">
        <v>35</v>
      </c>
      <c r="C3" s="36"/>
    </row>
    <row r="4" spans="1:3" x14ac:dyDescent="0.3">
      <c r="A4" s="34"/>
      <c r="B4" s="44" t="s">
        <v>5</v>
      </c>
      <c r="C4" s="36"/>
    </row>
    <row r="5" spans="1:3" ht="16.5" x14ac:dyDescent="0.3">
      <c r="A5" s="34"/>
      <c r="B5" s="39"/>
      <c r="C5" s="36"/>
    </row>
    <row r="6" spans="1:3" ht="16.5" x14ac:dyDescent="0.3">
      <c r="A6" s="34"/>
      <c r="B6" s="40" t="s">
        <v>36</v>
      </c>
      <c r="C6" s="36"/>
    </row>
    <row r="7" spans="1:3" ht="16.5" x14ac:dyDescent="0.3">
      <c r="A7" s="34"/>
      <c r="B7" s="39"/>
      <c r="C7" s="36"/>
    </row>
    <row r="8" spans="1:3" ht="16.5" x14ac:dyDescent="0.3">
      <c r="A8" s="34"/>
      <c r="B8" s="39"/>
      <c r="C8" s="36"/>
    </row>
    <row r="9" spans="1:3" ht="16.5" x14ac:dyDescent="0.3">
      <c r="A9" s="34"/>
      <c r="B9" s="39"/>
      <c r="C9" s="36"/>
    </row>
    <row r="10" spans="1:3" ht="16.5" x14ac:dyDescent="0.3">
      <c r="A10" s="34"/>
      <c r="B10" s="39"/>
      <c r="C10" s="36"/>
    </row>
    <row r="11" spans="1:3" ht="16.5" x14ac:dyDescent="0.3">
      <c r="A11" s="34"/>
      <c r="B11" s="39"/>
      <c r="C11" s="36"/>
    </row>
    <row r="12" spans="1:3" ht="16.5" x14ac:dyDescent="0.3">
      <c r="A12" s="34"/>
      <c r="B12" s="39"/>
      <c r="C12" s="36"/>
    </row>
    <row r="13" spans="1:3" ht="16.5" x14ac:dyDescent="0.3">
      <c r="A13" s="34"/>
      <c r="B13" s="39"/>
      <c r="C13" s="36"/>
    </row>
    <row r="14" spans="1:3" ht="16.5" x14ac:dyDescent="0.3">
      <c r="A14" s="34"/>
      <c r="B14" s="41"/>
      <c r="C14" s="36"/>
    </row>
    <row r="15" spans="1:3" ht="16.5" x14ac:dyDescent="0.3">
      <c r="A15" s="34"/>
      <c r="B15" s="39"/>
      <c r="C15" s="36"/>
    </row>
    <row r="16" spans="1:3" ht="16.5" x14ac:dyDescent="0.3">
      <c r="A16" s="34"/>
      <c r="B16" s="42"/>
      <c r="C16" s="36"/>
    </row>
    <row r="17" spans="1:3" ht="32.25" x14ac:dyDescent="0.3">
      <c r="A17" s="34"/>
      <c r="B17" s="39" t="s">
        <v>4</v>
      </c>
      <c r="C17" s="36"/>
    </row>
    <row r="18" spans="1:3" x14ac:dyDescent="0.3">
      <c r="A18" s="34"/>
      <c r="B18" s="34"/>
      <c r="C18" s="36"/>
    </row>
    <row r="19" spans="1:3" x14ac:dyDescent="0.3">
      <c r="A19" s="34"/>
      <c r="B19" s="34"/>
      <c r="C19" s="36"/>
    </row>
    <row r="20" spans="1:3" x14ac:dyDescent="0.3">
      <c r="A20" s="34"/>
      <c r="B20" s="34"/>
      <c r="C20" s="36"/>
    </row>
    <row r="21" spans="1:3" x14ac:dyDescent="0.3">
      <c r="A21" s="34"/>
      <c r="B21" s="34"/>
      <c r="C21" s="36"/>
    </row>
    <row r="22" spans="1:3" x14ac:dyDescent="0.3">
      <c r="A22" s="34"/>
      <c r="B22" s="34"/>
      <c r="C22" s="36"/>
    </row>
    <row r="23" spans="1:3" x14ac:dyDescent="0.3">
      <c r="A23" s="34"/>
      <c r="B23" s="34"/>
      <c r="C23" s="36"/>
    </row>
    <row r="24" spans="1:3" x14ac:dyDescent="0.3">
      <c r="A24" s="34"/>
      <c r="B24" s="34"/>
      <c r="C24" s="36"/>
    </row>
    <row r="25" spans="1:3" x14ac:dyDescent="0.3">
      <c r="A25" s="34"/>
      <c r="B25" s="34"/>
      <c r="C25" s="36"/>
    </row>
    <row r="26" spans="1:3" x14ac:dyDescent="0.3">
      <c r="A26" s="34"/>
      <c r="B26" s="34"/>
      <c r="C26" s="36"/>
    </row>
    <row r="27" spans="1:3" x14ac:dyDescent="0.3">
      <c r="A27" s="34"/>
      <c r="B27" s="34"/>
      <c r="C27" s="36"/>
    </row>
    <row r="28" spans="1:3" x14ac:dyDescent="0.3">
      <c r="A28" s="34"/>
      <c r="B28" s="34"/>
      <c r="C28" s="36"/>
    </row>
    <row r="29" spans="1:3" x14ac:dyDescent="0.3">
      <c r="A29" s="34"/>
      <c r="B29" s="34"/>
      <c r="C29" s="36"/>
    </row>
  </sheetData>
  <hyperlinks>
    <hyperlink ref="B4" r:id="rId1" xr:uid="{00000000-0004-0000-0400-000001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DonationLog</vt:lpstr>
      <vt:lpstr>©</vt:lpstr>
      <vt:lpstr>DonationLog!Druckbereich</vt:lpstr>
      <vt:lpstr>DonationLog!Drucktitel</vt:lpstr>
      <vt:lpstr>logTable2</vt:lpstr>
      <vt:lpstr>logTable3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Donation Tracking Template</dc:title>
  <dc:creator>Patrick Djimgou</dc:creator>
  <dc:description>(c) 2014 Vertex42 LLC. All Rights Reserved.</dc:description>
  <cp:lastModifiedBy>Chichikolon Chichi</cp:lastModifiedBy>
  <cp:lastPrinted>2014-01-06T20:49:41Z</cp:lastPrinted>
  <dcterms:created xsi:type="dcterms:W3CDTF">2003-11-23T07:57:29Z</dcterms:created>
  <dcterms:modified xsi:type="dcterms:W3CDTF">2024-05-11T02:03:58Z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2014 Vertex42 LLC</vt:lpwstr>
  </property>
  <property fmtid="{D5CDD505-2E9C-101B-9397-08002B2CF9AE}" pid="3" name="Version">
    <vt:lpwstr>1.1.1</vt:lpwstr>
  </property>
  <property fmtid="{D5CDD505-2E9C-101B-9397-08002B2CF9AE}" pid="4" name="Source">
    <vt:lpwstr>https://www.vertex42.com/ExcelTemplates/donation-tracker.html</vt:lpwstr>
  </property>
</Properties>
</file>